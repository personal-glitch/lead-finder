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Tracker" sheetId="2" state="visible" r:id="rId2"/>
    <sheet xmlns:r="http://schemas.openxmlformats.org/officeDocument/2006/relationships" name="Übersicht" sheetId="3" state="visible" r:id="rId3"/>
    <sheet xmlns:r="http://schemas.openxmlformats.org/officeDocument/2006/relationships" name="Wochenziel" sheetId="4" state="visible" r:id="rId4"/>
  </sheets>
  <definedNames>
    <definedName name="_xlnm._FilterDatabase" localSheetId="1" hidden="1">'Tracker'!$A$4:$K$204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€"/>
  </numFmts>
  <fonts count="14">
    <font>
      <name val="Calibri"/>
      <family val="2"/>
      <color theme="1"/>
      <sz val="11"/>
      <scheme val="minor"/>
    </font>
    <font>
      <b val="1"/>
      <color rgb="FFFFFFFF"/>
      <sz val="18"/>
    </font>
    <font>
      <color rgb="FF16181D"/>
      <sz val="10.5"/>
    </font>
    <font>
      <b val="1"/>
      <color rgb="FF16181D"/>
      <sz val="12"/>
    </font>
    <font>
      <b val="1"/>
      <color rgb="FF2563EB"/>
      <sz val="11"/>
    </font>
    <font>
      <b val="1"/>
      <color rgb="FFFFFFFF"/>
      <sz val="15"/>
    </font>
    <font>
      <i val="1"/>
      <color rgb="FF5B6470"/>
      <sz val="9"/>
    </font>
    <font>
      <b val="1"/>
      <color rgb="FFFFFFFF"/>
      <sz val="10"/>
    </font>
    <font>
      <color rgb="FF16181D"/>
      <sz val="10"/>
    </font>
    <font>
      <color rgb="FF16181D"/>
      <sz val="11"/>
    </font>
    <font>
      <b val="1"/>
      <color rgb="FF16181D"/>
      <sz val="11"/>
    </font>
    <font>
      <b val="1"/>
      <color rgb="FF16181D"/>
    </font>
    <font>
      <b val="1"/>
      <color rgb="FFFFFFFF"/>
    </font>
    <font>
      <color rgb="FF16181D"/>
    </font>
  </fonts>
  <fills count="7">
    <fill>
      <patternFill/>
    </fill>
    <fill>
      <patternFill patternType="gray125"/>
    </fill>
    <fill>
      <patternFill patternType="solid">
        <fgColor rgb="FFA8E83A"/>
      </patternFill>
    </fill>
    <fill>
      <patternFill patternType="solid">
        <fgColor rgb="FF0F1115"/>
      </patternFill>
    </fill>
    <fill>
      <patternFill patternType="solid">
        <fgColor rgb="FFF4F6F8"/>
      </patternFill>
    </fill>
    <fill>
      <patternFill patternType="solid">
        <fgColor rgb="FFFFFFFF"/>
      </patternFill>
    </fill>
    <fill>
      <patternFill patternType="solid">
        <fgColor rgb="FFFFF3C4"/>
      </patternFill>
    </fill>
  </fills>
  <borders count="2">
    <border>
      <left/>
      <right/>
      <top/>
      <bottom/>
      <diagonal/>
    </border>
    <border>
      <bottom style="medium">
        <color rgb="FFA8E83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0" fillId="3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applyAlignment="1" pivotButton="0" quotePrefix="0" xfId="0">
      <alignment wrapText="1" indent="1"/>
    </xf>
    <xf numFmtId="0" fontId="3" fillId="0" borderId="0" applyAlignment="1" pivotButton="0" quotePrefix="0" xfId="0">
      <alignment wrapText="1" indent="1"/>
    </xf>
    <xf numFmtId="0" fontId="4" fillId="0" borderId="0" applyAlignment="1" pivotButton="0" quotePrefix="0" xfId="0">
      <alignment wrapText="1" indent="1"/>
    </xf>
    <xf numFmtId="0" fontId="5" fillId="3" borderId="0" applyAlignment="1" pivotButton="0" quotePrefix="0" xfId="0">
      <alignment vertical="center" indent="1"/>
    </xf>
    <xf numFmtId="0" fontId="6" fillId="0" borderId="0" pivotButton="0" quotePrefix="0" xfId="0"/>
    <xf numFmtId="0" fontId="7" fillId="3" borderId="1" applyAlignment="1" pivotButton="0" quotePrefix="0" xfId="0">
      <alignment vertical="center" indent="1"/>
    </xf>
    <xf numFmtId="0" fontId="8" fillId="0" borderId="0" applyAlignment="1" pivotButton="0" quotePrefix="0" xfId="0">
      <alignment vertical="center" indent="1"/>
    </xf>
    <xf numFmtId="164" fontId="8" fillId="0" borderId="0" applyAlignment="1" pivotButton="0" quotePrefix="0" xfId="0">
      <alignment vertical="center" indent="1"/>
    </xf>
    <xf numFmtId="0" fontId="0" fillId="0" borderId="0" applyAlignment="1" pivotButton="0" quotePrefix="0" xfId="0">
      <alignment vertical="center" indent="1"/>
    </xf>
    <xf numFmtId="164" fontId="0" fillId="0" borderId="0" applyAlignment="1" pivotButton="0" quotePrefix="0" xfId="0">
      <alignment vertical="center" indent="1"/>
    </xf>
    <xf numFmtId="0" fontId="0" fillId="4" borderId="0" applyAlignment="1" pivotButton="0" quotePrefix="0" xfId="0">
      <alignment vertical="center" indent="1"/>
    </xf>
    <xf numFmtId="164" fontId="0" fillId="4" borderId="0" applyAlignment="1" pivotButton="0" quotePrefix="0" xfId="0">
      <alignment vertical="center" indent="1"/>
    </xf>
    <xf numFmtId="0" fontId="9" fillId="4" borderId="0" applyAlignment="1" pivotButton="0" quotePrefix="0" xfId="0">
      <alignment vertical="center" indent="1"/>
    </xf>
    <xf numFmtId="0" fontId="10" fillId="4" borderId="0" applyAlignment="1" pivotButton="0" quotePrefix="0" xfId="0">
      <alignment vertical="center" indent="1"/>
    </xf>
    <xf numFmtId="0" fontId="9" fillId="5" borderId="0" applyAlignment="1" pivotButton="0" quotePrefix="0" xfId="0">
      <alignment vertical="center" indent="1"/>
    </xf>
    <xf numFmtId="0" fontId="10" fillId="5" borderId="0" applyAlignment="1" pivotButton="0" quotePrefix="0" xfId="0">
      <alignment vertical="center" indent="1"/>
    </xf>
    <xf numFmtId="164" fontId="10" fillId="5" borderId="0" applyAlignment="1" pivotButton="0" quotePrefix="0" xfId="0">
      <alignment vertical="center" indent="1"/>
    </xf>
    <xf numFmtId="164" fontId="10" fillId="4" borderId="0" applyAlignment="1" pivotButton="0" quotePrefix="0" xfId="0">
      <alignment vertical="center" indent="1"/>
    </xf>
    <xf numFmtId="9" fontId="10" fillId="5" borderId="0" applyAlignment="1" pivotButton="0" quotePrefix="0" xfId="0">
      <alignment vertical="center" indent="1"/>
    </xf>
    <xf numFmtId="0" fontId="11" fillId="0" borderId="0" pivotButton="0" quotePrefix="0" xfId="0"/>
    <xf numFmtId="0" fontId="11" fillId="6" borderId="0" pivotButton="0" quotePrefix="0" xfId="0"/>
    <xf numFmtId="0" fontId="12" fillId="3" borderId="0" applyAlignment="1" pivotButton="0" quotePrefix="0" xfId="0">
      <alignment indent="1"/>
    </xf>
    <xf numFmtId="0" fontId="13" fillId="4" borderId="0" applyAlignment="1" pivotButton="0" quotePrefix="0" xfId="0">
      <alignment indent="1"/>
    </xf>
    <xf numFmtId="0" fontId="0" fillId="4" borderId="0" applyAlignment="1" pivotButton="0" quotePrefix="0" xfId="0">
      <alignment indent="1"/>
    </xf>
    <xf numFmtId="0" fontId="13" fillId="0" borderId="0" applyAlignment="1" pivotButton="0" quotePrefix="0" xfId="0">
      <alignment indent="1"/>
    </xf>
    <xf numFmtId="0" fontId="0" fillId="0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Leads je Status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'Übersicht'!$A$4:$A$9</f>
            </numRef>
          </cat>
          <val>
            <numRef>
              <f>'Übersicht'!$B$4:$B$9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5" customWidth="1" min="2" max="2"/>
  </cols>
  <sheetData>
    <row r="1" ht="6" customHeight="1">
      <c r="A1" s="1" t="n"/>
    </row>
    <row r="2" ht="34" customHeight="1">
      <c r="A2" s="2" t="n"/>
      <c r="B2" s="3" t="n"/>
    </row>
    <row r="4" ht="6" customHeight="1">
      <c r="B4" s="4" t="inlineStr"/>
    </row>
    <row r="5" ht="20" customHeight="1">
      <c r="B5" s="5" t="inlineStr">
        <is>
          <t>So nutzt du den Tracker</t>
        </is>
      </c>
    </row>
    <row r="6" ht="20" customHeight="1">
      <c r="B6" s="4" t="inlineStr">
        <is>
          <t>1. Reiter „Tracker": Trag deine Firmen ein und wähle den Status aus dem Dropdown.</t>
        </is>
      </c>
    </row>
    <row r="7" ht="20" customHeight="1">
      <c r="B7" s="4" t="inlineStr">
        <is>
          <t>2. Reiter „Übersicht": rechnet automatisch – Pipeline-Wert, Gewonnen, Abschlussquote (mit Diagramm).</t>
        </is>
      </c>
    </row>
    <row r="8" ht="20" customHeight="1">
      <c r="B8" s="4" t="inlineStr">
        <is>
          <t>3. Reiter „Wochenziel": setz dein Tagesziel an Anrufen und hak jeden Tag ab – das hält dich dran.</t>
        </is>
      </c>
    </row>
    <row r="9" ht="6" customHeight="1">
      <c r="B9" s="4" t="inlineStr"/>
    </row>
    <row r="10" ht="20" customHeight="1">
      <c r="B10" s="5" t="inlineStr">
        <is>
          <t>Status-Bedeutung</t>
        </is>
      </c>
    </row>
    <row r="11" ht="20" customHeight="1">
      <c r="B11" s="4" t="inlineStr">
        <is>
          <t>Neu → Kontaktiert → Termin → Angebot → Gewonnen / Verloren</t>
        </is>
      </c>
    </row>
    <row r="12" ht="6" customHeight="1">
      <c r="B12" s="4" t="inlineStr"/>
    </row>
    <row r="13" ht="20" customHeight="1">
      <c r="B13" s="5" t="inlineStr">
        <is>
          <t>Tipp</t>
        </is>
      </c>
    </row>
    <row r="14" ht="20" customHeight="1">
      <c r="B14" s="4" t="inlineStr">
        <is>
          <t>Blockiere dir feste 30 Minuten pro Tag nur für Akquise – wie einen Termin. Konsequenz schlägt Talent.</t>
        </is>
      </c>
    </row>
    <row r="15" ht="6" customHeight="1">
      <c r="B15" s="4" t="inlineStr"/>
    </row>
    <row r="16" ht="20" customHeight="1">
      <c r="B16" s="4" t="inlineStr">
        <is>
          <t>KundenRadar macht genau das automatisch – plus Firmen-Suche mit Telefon &amp; Ansprechpartner.</t>
        </is>
      </c>
    </row>
    <row r="17" ht="20" customHeight="1">
      <c r="B17" s="6" t="inlineStr">
        <is>
          <t>3 Tage gratis testen:  seciora-solutions.de</t>
        </is>
      </c>
    </row>
  </sheetData>
  <mergeCells count="3">
    <mergeCell ref="B2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26" customWidth="1" min="4" max="4"/>
    <col width="18" customWidth="1" min="5" max="5"/>
    <col width="14" customWidth="1" min="6" max="6"/>
    <col width="14" customWidth="1" min="7" max="7"/>
    <col width="16" customWidth="1" min="8" max="8"/>
    <col width="24" customWidth="1" min="9" max="9"/>
    <col width="14" customWidth="1" min="10" max="10"/>
    <col width="30" customWidth="1" min="11" max="11"/>
  </cols>
  <sheetData>
    <row r="1" ht="30" customHeight="1">
      <c r="A1" s="7" t="inlineStr">
        <is>
          <t>KundenRadar · Akquise-Tracker</t>
        </is>
      </c>
    </row>
    <row r="2" ht="15" customHeight="1">
      <c r="A2" s="8" t="inlineStr">
        <is>
          <t>Status aus dem Dropdown wählen – die Übersicht rechnet automatisch.</t>
        </is>
      </c>
    </row>
    <row r="4" ht="22" customHeight="1">
      <c r="A4" s="9" t="inlineStr">
        <is>
          <t>Firma</t>
        </is>
      </c>
      <c r="B4" s="9" t="inlineStr">
        <is>
          <t>Ansprechpartner</t>
        </is>
      </c>
      <c r="C4" s="9" t="inlineStr">
        <is>
          <t>Telefon</t>
        </is>
      </c>
      <c r="D4" s="9" t="inlineStr">
        <is>
          <t>E-Mail</t>
        </is>
      </c>
      <c r="E4" s="9" t="inlineStr">
        <is>
          <t>Branche</t>
        </is>
      </c>
      <c r="F4" s="9" t="inlineStr">
        <is>
          <t>Ort</t>
        </is>
      </c>
      <c r="G4" s="9" t="inlineStr">
        <is>
          <t>Status</t>
        </is>
      </c>
      <c r="H4" s="9" t="inlineStr">
        <is>
          <t>Auftragswert (€)</t>
        </is>
      </c>
      <c r="I4" s="9" t="inlineStr">
        <is>
          <t>Nächster Schritt</t>
        </is>
      </c>
      <c r="J4" s="9" t="inlineStr">
        <is>
          <t>Wiedervorlage</t>
        </is>
      </c>
      <c r="K4" s="9" t="inlineStr">
        <is>
          <t>Notizen</t>
        </is>
      </c>
    </row>
    <row r="5">
      <c r="A5" s="10" t="inlineStr">
        <is>
          <t>Zahnarztpraxis Dr. Berg</t>
        </is>
      </c>
      <c r="B5" s="10" t="inlineStr">
        <is>
          <t>Frau Berg</t>
        </is>
      </c>
      <c r="C5" s="10" t="inlineStr">
        <is>
          <t>0221 1234567</t>
        </is>
      </c>
      <c r="D5" s="10" t="inlineStr">
        <is>
          <t>info@praxis-berg.de</t>
        </is>
      </c>
      <c r="E5" s="10" t="inlineStr">
        <is>
          <t>Arztpraxis</t>
        </is>
      </c>
      <c r="F5" s="10" t="inlineStr">
        <is>
          <t>Köln</t>
        </is>
      </c>
      <c r="G5" s="10" t="inlineStr">
        <is>
          <t>Termin</t>
        </is>
      </c>
      <c r="H5" s="11" t="n">
        <v>2400</v>
      </c>
      <c r="I5" s="10" t="inlineStr">
        <is>
          <t>Angebot senden</t>
        </is>
      </c>
      <c r="J5" s="10" t="inlineStr">
        <is>
          <t>2026-06-18</t>
        </is>
      </c>
      <c r="K5" s="10" t="inlineStr">
        <is>
          <t>Wartung Empfang</t>
        </is>
      </c>
    </row>
    <row r="6">
      <c r="A6" s="10" t="inlineStr">
        <is>
          <t>Hausverw. Rhein GmbH</t>
        </is>
      </c>
      <c r="B6" s="10" t="inlineStr">
        <is>
          <t>Hr. Weber</t>
        </is>
      </c>
      <c r="C6" s="10" t="inlineStr">
        <is>
          <t>0221 9988776</t>
        </is>
      </c>
      <c r="D6" s="10" t="inlineStr">
        <is>
          <t>weber@hv-rhein.de</t>
        </is>
      </c>
      <c r="E6" s="10" t="inlineStr">
        <is>
          <t>Hausverwaltung</t>
        </is>
      </c>
      <c r="F6" s="10" t="inlineStr">
        <is>
          <t>Köln</t>
        </is>
      </c>
      <c r="G6" s="10" t="inlineStr">
        <is>
          <t>Kontaktiert</t>
        </is>
      </c>
      <c r="H6" s="11" t="n">
        <v>0</v>
      </c>
      <c r="I6" s="10" t="inlineStr">
        <is>
          <t>Nachfassen</t>
        </is>
      </c>
      <c r="J6" s="10" t="inlineStr">
        <is>
          <t>2026-06-17</t>
        </is>
      </c>
      <c r="K6" s="10" t="inlineStr"/>
    </row>
    <row r="7">
      <c r="A7" s="10" t="inlineStr">
        <is>
          <t>Hotel Westend</t>
        </is>
      </c>
      <c r="B7" s="10" t="inlineStr">
        <is>
          <t>Fr. Vogt</t>
        </is>
      </c>
      <c r="C7" s="10" t="inlineStr">
        <is>
          <t>0221 4455667</t>
        </is>
      </c>
      <c r="D7" s="10" t="inlineStr">
        <is>
          <t>empfang@hotel-westend.de</t>
        </is>
      </c>
      <c r="E7" s="10" t="inlineStr">
        <is>
          <t>Hotel</t>
        </is>
      </c>
      <c r="F7" s="10" t="inlineStr">
        <is>
          <t>Köln</t>
        </is>
      </c>
      <c r="G7" s="10" t="inlineStr">
        <is>
          <t>Gewonnen</t>
        </is>
      </c>
      <c r="H7" s="11" t="n">
        <v>6000</v>
      </c>
      <c r="I7" s="10" t="inlineStr">
        <is>
          <t>Vertrag</t>
        </is>
      </c>
      <c r="J7" s="10" t="inlineStr"/>
      <c r="K7" s="10" t="inlineStr">
        <is>
          <t>monatlich</t>
        </is>
      </c>
    </row>
    <row r="8">
      <c r="A8" s="10" t="inlineStr">
        <is>
          <t>Café Mocca</t>
        </is>
      </c>
      <c r="B8" s="10" t="inlineStr">
        <is>
          <t>Hr. Klein</t>
        </is>
      </c>
      <c r="C8" s="10" t="inlineStr">
        <is>
          <t>0221 778899</t>
        </is>
      </c>
      <c r="D8" s="10" t="inlineStr">
        <is>
          <t>hallo@cafe-mocca.de</t>
        </is>
      </c>
      <c r="E8" s="10" t="inlineStr">
        <is>
          <t>Café</t>
        </is>
      </c>
      <c r="F8" s="10" t="inlineStr">
        <is>
          <t>Köln</t>
        </is>
      </c>
      <c r="G8" s="10" t="inlineStr">
        <is>
          <t>Verloren</t>
        </is>
      </c>
      <c r="H8" s="11" t="n">
        <v>0</v>
      </c>
      <c r="I8" s="10" t="inlineStr">
        <is>
          <t>—</t>
        </is>
      </c>
      <c r="J8" s="10" t="inlineStr"/>
      <c r="K8" s="10" t="inlineStr">
        <is>
          <t>anderer Anbieter</t>
        </is>
      </c>
    </row>
    <row r="9">
      <c r="A9" s="12" t="n"/>
      <c r="B9" s="12" t="n"/>
      <c r="C9" s="12" t="n"/>
      <c r="D9" s="12" t="n"/>
      <c r="E9" s="12" t="n"/>
      <c r="F9" s="12" t="n"/>
      <c r="G9" s="12" t="n"/>
      <c r="H9" s="13" t="n"/>
      <c r="I9" s="12" t="n"/>
      <c r="J9" s="12" t="n"/>
      <c r="K9" s="12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5" t="n"/>
      <c r="I10" s="14" t="n"/>
      <c r="J10" s="14" t="n"/>
      <c r="K10" s="14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3" t="n"/>
      <c r="I11" s="12" t="n"/>
      <c r="J11" s="12" t="n"/>
      <c r="K11" s="12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5" t="n"/>
      <c r="I12" s="14" t="n"/>
      <c r="J12" s="14" t="n"/>
      <c r="K12" s="14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3" t="n"/>
      <c r="I13" s="12" t="n"/>
      <c r="J13" s="12" t="n"/>
      <c r="K13" s="12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5" t="n"/>
      <c r="I14" s="14" t="n"/>
      <c r="J14" s="14" t="n"/>
      <c r="K14" s="14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3" t="n"/>
      <c r="I15" s="12" t="n"/>
      <c r="J15" s="12" t="n"/>
      <c r="K15" s="12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5" t="n"/>
      <c r="I16" s="14" t="n"/>
      <c r="J16" s="14" t="n"/>
      <c r="K16" s="14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3" t="n"/>
      <c r="I17" s="12" t="n"/>
      <c r="J17" s="12" t="n"/>
      <c r="K17" s="12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5" t="n"/>
      <c r="I18" s="14" t="n"/>
      <c r="J18" s="14" t="n"/>
      <c r="K18" s="14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3" t="n"/>
      <c r="I19" s="12" t="n"/>
      <c r="J19" s="12" t="n"/>
      <c r="K19" s="12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5" t="n"/>
      <c r="I20" s="14" t="n"/>
      <c r="J20" s="14" t="n"/>
      <c r="K20" s="14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3" t="n"/>
      <c r="I21" s="12" t="n"/>
      <c r="J21" s="12" t="n"/>
      <c r="K21" s="12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5" t="n"/>
      <c r="I22" s="14" t="n"/>
      <c r="J22" s="14" t="n"/>
      <c r="K22" s="14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3" t="n"/>
      <c r="I23" s="12" t="n"/>
      <c r="J23" s="12" t="n"/>
      <c r="K23" s="12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5" t="n"/>
      <c r="I24" s="14" t="n"/>
      <c r="J24" s="14" t="n"/>
      <c r="K24" s="14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3" t="n"/>
      <c r="I25" s="12" t="n"/>
      <c r="J25" s="12" t="n"/>
      <c r="K25" s="12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5" t="n"/>
      <c r="I26" s="14" t="n"/>
      <c r="J26" s="14" t="n"/>
      <c r="K26" s="14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3" t="n"/>
      <c r="I27" s="12" t="n"/>
      <c r="J27" s="12" t="n"/>
      <c r="K27" s="12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5" t="n"/>
      <c r="I28" s="14" t="n"/>
      <c r="J28" s="14" t="n"/>
      <c r="K28" s="14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3" t="n"/>
      <c r="I29" s="12" t="n"/>
      <c r="J29" s="12" t="n"/>
      <c r="K29" s="12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5" t="n"/>
      <c r="I30" s="14" t="n"/>
      <c r="J30" s="14" t="n"/>
      <c r="K30" s="14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3" t="n"/>
      <c r="I31" s="12" t="n"/>
      <c r="J31" s="12" t="n"/>
      <c r="K31" s="12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5" t="n"/>
      <c r="I32" s="14" t="n"/>
      <c r="J32" s="14" t="n"/>
      <c r="K32" s="14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3" t="n"/>
      <c r="I33" s="12" t="n"/>
      <c r="J33" s="12" t="n"/>
      <c r="K33" s="12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5" t="n"/>
      <c r="I34" s="14" t="n"/>
      <c r="J34" s="14" t="n"/>
      <c r="K34" s="14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3" t="n"/>
      <c r="I35" s="12" t="n"/>
      <c r="J35" s="12" t="n"/>
      <c r="K35" s="12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5" t="n"/>
      <c r="I36" s="14" t="n"/>
      <c r="J36" s="14" t="n"/>
      <c r="K36" s="14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3" t="n"/>
      <c r="I37" s="12" t="n"/>
      <c r="J37" s="12" t="n"/>
      <c r="K37" s="12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5" t="n"/>
      <c r="I38" s="14" t="n"/>
      <c r="J38" s="14" t="n"/>
      <c r="K38" s="14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3" t="n"/>
      <c r="I39" s="12" t="n"/>
      <c r="J39" s="12" t="n"/>
      <c r="K39" s="12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5" t="n"/>
      <c r="I40" s="14" t="n"/>
      <c r="J40" s="14" t="n"/>
      <c r="K40" s="14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3" t="n"/>
      <c r="I41" s="12" t="n"/>
      <c r="J41" s="12" t="n"/>
      <c r="K41" s="12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5" t="n"/>
      <c r="I42" s="14" t="n"/>
      <c r="J42" s="14" t="n"/>
      <c r="K42" s="14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3" t="n"/>
      <c r="I43" s="12" t="n"/>
      <c r="J43" s="12" t="n"/>
      <c r="K43" s="12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5" t="n"/>
      <c r="I44" s="14" t="n"/>
      <c r="J44" s="14" t="n"/>
      <c r="K44" s="14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3" t="n"/>
      <c r="I45" s="12" t="n"/>
      <c r="J45" s="12" t="n"/>
      <c r="K45" s="12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5" t="n"/>
      <c r="I46" s="14" t="n"/>
      <c r="J46" s="14" t="n"/>
      <c r="K46" s="14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3" t="n"/>
      <c r="I47" s="12" t="n"/>
      <c r="J47" s="12" t="n"/>
      <c r="K47" s="12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5" t="n"/>
      <c r="I48" s="14" t="n"/>
      <c r="J48" s="14" t="n"/>
      <c r="K48" s="14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3" t="n"/>
      <c r="I49" s="12" t="n"/>
      <c r="J49" s="12" t="n"/>
      <c r="K49" s="12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5" t="n"/>
      <c r="I50" s="14" t="n"/>
      <c r="J50" s="14" t="n"/>
      <c r="K50" s="14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3" t="n"/>
      <c r="I51" s="12" t="n"/>
      <c r="J51" s="12" t="n"/>
      <c r="K51" s="12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5" t="n"/>
      <c r="I52" s="14" t="n"/>
      <c r="J52" s="14" t="n"/>
      <c r="K52" s="14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3" t="n"/>
      <c r="I53" s="12" t="n"/>
      <c r="J53" s="12" t="n"/>
      <c r="K53" s="12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5" t="n"/>
      <c r="I54" s="14" t="n"/>
      <c r="J54" s="14" t="n"/>
      <c r="K54" s="14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3" t="n"/>
      <c r="I55" s="12" t="n"/>
      <c r="J55" s="12" t="n"/>
      <c r="K55" s="12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5" t="n"/>
      <c r="I56" s="14" t="n"/>
      <c r="J56" s="14" t="n"/>
      <c r="K56" s="14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3" t="n"/>
      <c r="I57" s="12" t="n"/>
      <c r="J57" s="12" t="n"/>
      <c r="K57" s="12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5" t="n"/>
      <c r="I58" s="14" t="n"/>
      <c r="J58" s="14" t="n"/>
      <c r="K58" s="14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3" t="n"/>
      <c r="I59" s="12" t="n"/>
      <c r="J59" s="12" t="n"/>
      <c r="K59" s="12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5" t="n"/>
      <c r="I60" s="14" t="n"/>
      <c r="J60" s="14" t="n"/>
      <c r="K60" s="14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3" t="n"/>
      <c r="I61" s="12" t="n"/>
      <c r="J61" s="12" t="n"/>
      <c r="K61" s="12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5" t="n"/>
      <c r="I62" s="14" t="n"/>
      <c r="J62" s="14" t="n"/>
      <c r="K62" s="14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3" t="n"/>
      <c r="I63" s="12" t="n"/>
      <c r="J63" s="12" t="n"/>
      <c r="K63" s="12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5" t="n"/>
      <c r="I64" s="14" t="n"/>
      <c r="J64" s="14" t="n"/>
      <c r="K64" s="14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3" t="n"/>
      <c r="I65" s="12" t="n"/>
      <c r="J65" s="12" t="n"/>
      <c r="K65" s="12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5" t="n"/>
      <c r="I66" s="14" t="n"/>
      <c r="J66" s="14" t="n"/>
      <c r="K66" s="14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3" t="n"/>
      <c r="I67" s="12" t="n"/>
      <c r="J67" s="12" t="n"/>
      <c r="K67" s="12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5" t="n"/>
      <c r="I68" s="14" t="n"/>
      <c r="J68" s="14" t="n"/>
      <c r="K68" s="14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3" t="n"/>
      <c r="I69" s="12" t="n"/>
      <c r="J69" s="12" t="n"/>
      <c r="K69" s="12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5" t="n"/>
      <c r="I70" s="14" t="n"/>
      <c r="J70" s="14" t="n"/>
      <c r="K70" s="14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3" t="n"/>
      <c r="I71" s="12" t="n"/>
      <c r="J71" s="12" t="n"/>
      <c r="K71" s="12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5" t="n"/>
      <c r="I72" s="14" t="n"/>
      <c r="J72" s="14" t="n"/>
      <c r="K72" s="14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3" t="n"/>
      <c r="I73" s="12" t="n"/>
      <c r="J73" s="12" t="n"/>
      <c r="K73" s="12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5" t="n"/>
      <c r="I74" s="14" t="n"/>
      <c r="J74" s="14" t="n"/>
      <c r="K74" s="14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3" t="n"/>
      <c r="I75" s="12" t="n"/>
      <c r="J75" s="12" t="n"/>
      <c r="K75" s="12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5" t="n"/>
      <c r="I76" s="14" t="n"/>
      <c r="J76" s="14" t="n"/>
      <c r="K76" s="14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3" t="n"/>
      <c r="I77" s="12" t="n"/>
      <c r="J77" s="12" t="n"/>
      <c r="K77" s="12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5" t="n"/>
      <c r="I78" s="14" t="n"/>
      <c r="J78" s="14" t="n"/>
      <c r="K78" s="14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3" t="n"/>
      <c r="I79" s="12" t="n"/>
      <c r="J79" s="12" t="n"/>
      <c r="K79" s="12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5" t="n"/>
      <c r="I80" s="14" t="n"/>
      <c r="J80" s="14" t="n"/>
      <c r="K80" s="14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3" t="n"/>
      <c r="I81" s="12" t="n"/>
      <c r="J81" s="12" t="n"/>
      <c r="K81" s="12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5" t="n"/>
      <c r="I82" s="14" t="n"/>
      <c r="J82" s="14" t="n"/>
      <c r="K82" s="14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3" t="n"/>
      <c r="I83" s="12" t="n"/>
      <c r="J83" s="12" t="n"/>
      <c r="K83" s="12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5" t="n"/>
      <c r="I84" s="14" t="n"/>
      <c r="J84" s="14" t="n"/>
      <c r="K84" s="14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3" t="n"/>
      <c r="I85" s="12" t="n"/>
      <c r="J85" s="12" t="n"/>
      <c r="K85" s="12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5" t="n"/>
      <c r="I86" s="14" t="n"/>
      <c r="J86" s="14" t="n"/>
      <c r="K86" s="14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3" t="n"/>
      <c r="I87" s="12" t="n"/>
      <c r="J87" s="12" t="n"/>
      <c r="K87" s="12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5" t="n"/>
      <c r="I88" s="14" t="n"/>
      <c r="J88" s="14" t="n"/>
      <c r="K88" s="14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3" t="n"/>
      <c r="I89" s="12" t="n"/>
      <c r="J89" s="12" t="n"/>
      <c r="K89" s="12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5" t="n"/>
      <c r="I90" s="14" t="n"/>
      <c r="J90" s="14" t="n"/>
      <c r="K90" s="14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3" t="n"/>
      <c r="I91" s="12" t="n"/>
      <c r="J91" s="12" t="n"/>
      <c r="K91" s="12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5" t="n"/>
      <c r="I92" s="14" t="n"/>
      <c r="J92" s="14" t="n"/>
      <c r="K92" s="14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3" t="n"/>
      <c r="I93" s="12" t="n"/>
      <c r="J93" s="12" t="n"/>
      <c r="K93" s="12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5" t="n"/>
      <c r="I94" s="14" t="n"/>
      <c r="J94" s="14" t="n"/>
      <c r="K94" s="14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3" t="n"/>
      <c r="I95" s="12" t="n"/>
      <c r="J95" s="12" t="n"/>
      <c r="K95" s="12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5" t="n"/>
      <c r="I96" s="14" t="n"/>
      <c r="J96" s="14" t="n"/>
      <c r="K96" s="14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3" t="n"/>
      <c r="I97" s="12" t="n"/>
      <c r="J97" s="12" t="n"/>
      <c r="K97" s="12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5" t="n"/>
      <c r="I98" s="14" t="n"/>
      <c r="J98" s="14" t="n"/>
      <c r="K98" s="14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3" t="n"/>
      <c r="I99" s="12" t="n"/>
      <c r="J99" s="12" t="n"/>
      <c r="K99" s="12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5" t="n"/>
      <c r="I100" s="14" t="n"/>
      <c r="J100" s="14" t="n"/>
      <c r="K100" s="14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3" t="n"/>
      <c r="I101" s="12" t="n"/>
      <c r="J101" s="12" t="n"/>
      <c r="K101" s="12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5" t="n"/>
      <c r="I102" s="14" t="n"/>
      <c r="J102" s="14" t="n"/>
      <c r="K102" s="14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3" t="n"/>
      <c r="I103" s="12" t="n"/>
      <c r="J103" s="12" t="n"/>
      <c r="K103" s="12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5" t="n"/>
      <c r="I104" s="14" t="n"/>
      <c r="J104" s="14" t="n"/>
      <c r="K104" s="14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3" t="n"/>
      <c r="I105" s="12" t="n"/>
      <c r="J105" s="12" t="n"/>
      <c r="K105" s="12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5" t="n"/>
      <c r="I106" s="14" t="n"/>
      <c r="J106" s="14" t="n"/>
      <c r="K106" s="14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3" t="n"/>
      <c r="I107" s="12" t="n"/>
      <c r="J107" s="12" t="n"/>
      <c r="K107" s="12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5" t="n"/>
      <c r="I108" s="14" t="n"/>
      <c r="J108" s="14" t="n"/>
      <c r="K108" s="14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3" t="n"/>
      <c r="I109" s="12" t="n"/>
      <c r="J109" s="12" t="n"/>
      <c r="K109" s="12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5" t="n"/>
      <c r="I110" s="14" t="n"/>
      <c r="J110" s="14" t="n"/>
      <c r="K110" s="14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3" t="n"/>
      <c r="I111" s="12" t="n"/>
      <c r="J111" s="12" t="n"/>
      <c r="K111" s="12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5" t="n"/>
      <c r="I112" s="14" t="n"/>
      <c r="J112" s="14" t="n"/>
      <c r="K112" s="14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3" t="n"/>
      <c r="I113" s="12" t="n"/>
      <c r="J113" s="12" t="n"/>
      <c r="K113" s="12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5" t="n"/>
      <c r="I114" s="14" t="n"/>
      <c r="J114" s="14" t="n"/>
      <c r="K114" s="14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3" t="n"/>
      <c r="I115" s="12" t="n"/>
      <c r="J115" s="12" t="n"/>
      <c r="K115" s="12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5" t="n"/>
      <c r="I116" s="14" t="n"/>
      <c r="J116" s="14" t="n"/>
      <c r="K116" s="14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3" t="n"/>
      <c r="I117" s="12" t="n"/>
      <c r="J117" s="12" t="n"/>
      <c r="K117" s="12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5" t="n"/>
      <c r="I118" s="14" t="n"/>
      <c r="J118" s="14" t="n"/>
      <c r="K118" s="14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3" t="n"/>
      <c r="I119" s="12" t="n"/>
      <c r="J119" s="12" t="n"/>
      <c r="K119" s="12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5" t="n"/>
      <c r="I120" s="14" t="n"/>
      <c r="J120" s="14" t="n"/>
      <c r="K120" s="14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3" t="n"/>
      <c r="I121" s="12" t="n"/>
      <c r="J121" s="12" t="n"/>
      <c r="K121" s="12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5" t="n"/>
      <c r="I122" s="14" t="n"/>
      <c r="J122" s="14" t="n"/>
      <c r="K122" s="14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3" t="n"/>
      <c r="I123" s="12" t="n"/>
      <c r="J123" s="12" t="n"/>
      <c r="K123" s="12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5" t="n"/>
      <c r="I124" s="14" t="n"/>
      <c r="J124" s="14" t="n"/>
      <c r="K124" s="14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3" t="n"/>
      <c r="I125" s="12" t="n"/>
      <c r="J125" s="12" t="n"/>
      <c r="K125" s="12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5" t="n"/>
      <c r="I126" s="14" t="n"/>
      <c r="J126" s="14" t="n"/>
      <c r="K126" s="14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3" t="n"/>
      <c r="I127" s="12" t="n"/>
      <c r="J127" s="12" t="n"/>
      <c r="K127" s="12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5" t="n"/>
      <c r="I128" s="14" t="n"/>
      <c r="J128" s="14" t="n"/>
      <c r="K128" s="14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3" t="n"/>
      <c r="I129" s="12" t="n"/>
      <c r="J129" s="12" t="n"/>
      <c r="K129" s="12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5" t="n"/>
      <c r="I130" s="14" t="n"/>
      <c r="J130" s="14" t="n"/>
      <c r="K130" s="14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3" t="n"/>
      <c r="I131" s="12" t="n"/>
      <c r="J131" s="12" t="n"/>
      <c r="K131" s="12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5" t="n"/>
      <c r="I132" s="14" t="n"/>
      <c r="J132" s="14" t="n"/>
      <c r="K132" s="14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3" t="n"/>
      <c r="I133" s="12" t="n"/>
      <c r="J133" s="12" t="n"/>
      <c r="K133" s="12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5" t="n"/>
      <c r="I134" s="14" t="n"/>
      <c r="J134" s="14" t="n"/>
      <c r="K134" s="14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3" t="n"/>
      <c r="I135" s="12" t="n"/>
      <c r="J135" s="12" t="n"/>
      <c r="K135" s="12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5" t="n"/>
      <c r="I136" s="14" t="n"/>
      <c r="J136" s="14" t="n"/>
      <c r="K136" s="14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3" t="n"/>
      <c r="I137" s="12" t="n"/>
      <c r="J137" s="12" t="n"/>
      <c r="K137" s="12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5" t="n"/>
      <c r="I138" s="14" t="n"/>
      <c r="J138" s="14" t="n"/>
      <c r="K138" s="14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3" t="n"/>
      <c r="I139" s="12" t="n"/>
      <c r="J139" s="12" t="n"/>
      <c r="K139" s="12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5" t="n"/>
      <c r="I140" s="14" t="n"/>
      <c r="J140" s="14" t="n"/>
      <c r="K140" s="14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3" t="n"/>
      <c r="I141" s="12" t="n"/>
      <c r="J141" s="12" t="n"/>
      <c r="K141" s="12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5" t="n"/>
      <c r="I142" s="14" t="n"/>
      <c r="J142" s="14" t="n"/>
      <c r="K142" s="14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3" t="n"/>
      <c r="I143" s="12" t="n"/>
      <c r="J143" s="12" t="n"/>
      <c r="K143" s="12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5" t="n"/>
      <c r="I144" s="14" t="n"/>
      <c r="J144" s="14" t="n"/>
      <c r="K144" s="14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3" t="n"/>
      <c r="I145" s="12" t="n"/>
      <c r="J145" s="12" t="n"/>
      <c r="K145" s="12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5" t="n"/>
      <c r="I146" s="14" t="n"/>
      <c r="J146" s="14" t="n"/>
      <c r="K146" s="14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3" t="n"/>
      <c r="I147" s="12" t="n"/>
      <c r="J147" s="12" t="n"/>
      <c r="K147" s="12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5" t="n"/>
      <c r="I148" s="14" t="n"/>
      <c r="J148" s="14" t="n"/>
      <c r="K148" s="14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3" t="n"/>
      <c r="I149" s="12" t="n"/>
      <c r="J149" s="12" t="n"/>
      <c r="K149" s="12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5" t="n"/>
      <c r="I150" s="14" t="n"/>
      <c r="J150" s="14" t="n"/>
      <c r="K150" s="14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3" t="n"/>
      <c r="I151" s="12" t="n"/>
      <c r="J151" s="12" t="n"/>
      <c r="K151" s="12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5" t="n"/>
      <c r="I152" s="14" t="n"/>
      <c r="J152" s="14" t="n"/>
      <c r="K152" s="14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3" t="n"/>
      <c r="I153" s="12" t="n"/>
      <c r="J153" s="12" t="n"/>
      <c r="K153" s="12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5" t="n"/>
      <c r="I154" s="14" t="n"/>
      <c r="J154" s="14" t="n"/>
      <c r="K154" s="14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3" t="n"/>
      <c r="I155" s="12" t="n"/>
      <c r="J155" s="12" t="n"/>
      <c r="K155" s="12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5" t="n"/>
      <c r="I156" s="14" t="n"/>
      <c r="J156" s="14" t="n"/>
      <c r="K156" s="14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3" t="n"/>
      <c r="I157" s="12" t="n"/>
      <c r="J157" s="12" t="n"/>
      <c r="K157" s="12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5" t="n"/>
      <c r="I158" s="14" t="n"/>
      <c r="J158" s="14" t="n"/>
      <c r="K158" s="14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3" t="n"/>
      <c r="I159" s="12" t="n"/>
      <c r="J159" s="12" t="n"/>
      <c r="K159" s="12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5" t="n"/>
      <c r="I160" s="14" t="n"/>
      <c r="J160" s="14" t="n"/>
      <c r="K160" s="14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3" t="n"/>
      <c r="I161" s="12" t="n"/>
      <c r="J161" s="12" t="n"/>
      <c r="K161" s="12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5" t="n"/>
      <c r="I162" s="14" t="n"/>
      <c r="J162" s="14" t="n"/>
      <c r="K162" s="14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3" t="n"/>
      <c r="I163" s="12" t="n"/>
      <c r="J163" s="12" t="n"/>
      <c r="K163" s="12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5" t="n"/>
      <c r="I164" s="14" t="n"/>
      <c r="J164" s="14" t="n"/>
      <c r="K164" s="14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3" t="n"/>
      <c r="I165" s="12" t="n"/>
      <c r="J165" s="12" t="n"/>
      <c r="K165" s="12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5" t="n"/>
      <c r="I166" s="14" t="n"/>
      <c r="J166" s="14" t="n"/>
      <c r="K166" s="14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3" t="n"/>
      <c r="I167" s="12" t="n"/>
      <c r="J167" s="12" t="n"/>
      <c r="K167" s="12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5" t="n"/>
      <c r="I168" s="14" t="n"/>
      <c r="J168" s="14" t="n"/>
      <c r="K168" s="14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3" t="n"/>
      <c r="I169" s="12" t="n"/>
      <c r="J169" s="12" t="n"/>
      <c r="K169" s="12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5" t="n"/>
      <c r="I170" s="14" t="n"/>
      <c r="J170" s="14" t="n"/>
      <c r="K170" s="14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3" t="n"/>
      <c r="I171" s="12" t="n"/>
      <c r="J171" s="12" t="n"/>
      <c r="K171" s="12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5" t="n"/>
      <c r="I172" s="14" t="n"/>
      <c r="J172" s="14" t="n"/>
      <c r="K172" s="14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3" t="n"/>
      <c r="I173" s="12" t="n"/>
      <c r="J173" s="12" t="n"/>
      <c r="K173" s="12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5" t="n"/>
      <c r="I174" s="14" t="n"/>
      <c r="J174" s="14" t="n"/>
      <c r="K174" s="14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3" t="n"/>
      <c r="I175" s="12" t="n"/>
      <c r="J175" s="12" t="n"/>
      <c r="K175" s="12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5" t="n"/>
      <c r="I176" s="14" t="n"/>
      <c r="J176" s="14" t="n"/>
      <c r="K176" s="14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3" t="n"/>
      <c r="I177" s="12" t="n"/>
      <c r="J177" s="12" t="n"/>
      <c r="K177" s="12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5" t="n"/>
      <c r="I178" s="14" t="n"/>
      <c r="J178" s="14" t="n"/>
      <c r="K178" s="14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3" t="n"/>
      <c r="I179" s="12" t="n"/>
      <c r="J179" s="12" t="n"/>
      <c r="K179" s="12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5" t="n"/>
      <c r="I180" s="14" t="n"/>
      <c r="J180" s="14" t="n"/>
      <c r="K180" s="14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3" t="n"/>
      <c r="I181" s="12" t="n"/>
      <c r="J181" s="12" t="n"/>
      <c r="K181" s="12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5" t="n"/>
      <c r="I182" s="14" t="n"/>
      <c r="J182" s="14" t="n"/>
      <c r="K182" s="14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3" t="n"/>
      <c r="I183" s="12" t="n"/>
      <c r="J183" s="12" t="n"/>
      <c r="K183" s="12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5" t="n"/>
      <c r="I184" s="14" t="n"/>
      <c r="J184" s="14" t="n"/>
      <c r="K184" s="14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3" t="n"/>
      <c r="I185" s="12" t="n"/>
      <c r="J185" s="12" t="n"/>
      <c r="K185" s="12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5" t="n"/>
      <c r="I186" s="14" t="n"/>
      <c r="J186" s="14" t="n"/>
      <c r="K186" s="14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3" t="n"/>
      <c r="I187" s="12" t="n"/>
      <c r="J187" s="12" t="n"/>
      <c r="K187" s="12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5" t="n"/>
      <c r="I188" s="14" t="n"/>
      <c r="J188" s="14" t="n"/>
      <c r="K188" s="14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3" t="n"/>
      <c r="I189" s="12" t="n"/>
      <c r="J189" s="12" t="n"/>
      <c r="K189" s="12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5" t="n"/>
      <c r="I190" s="14" t="n"/>
      <c r="J190" s="14" t="n"/>
      <c r="K190" s="14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3" t="n"/>
      <c r="I191" s="12" t="n"/>
      <c r="J191" s="12" t="n"/>
      <c r="K191" s="12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5" t="n"/>
      <c r="I192" s="14" t="n"/>
      <c r="J192" s="14" t="n"/>
      <c r="K192" s="14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3" t="n"/>
      <c r="I193" s="12" t="n"/>
      <c r="J193" s="12" t="n"/>
      <c r="K193" s="12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5" t="n"/>
      <c r="I194" s="14" t="n"/>
      <c r="J194" s="14" t="n"/>
      <c r="K194" s="14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3" t="n"/>
      <c r="I195" s="12" t="n"/>
      <c r="J195" s="12" t="n"/>
      <c r="K195" s="12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5" t="n"/>
      <c r="I196" s="14" t="n"/>
      <c r="J196" s="14" t="n"/>
      <c r="K196" s="14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3" t="n"/>
      <c r="I197" s="12" t="n"/>
      <c r="J197" s="12" t="n"/>
      <c r="K197" s="12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5" t="n"/>
      <c r="I198" s="14" t="n"/>
      <c r="J198" s="14" t="n"/>
      <c r="K198" s="14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3" t="n"/>
      <c r="I199" s="12" t="n"/>
      <c r="J199" s="12" t="n"/>
      <c r="K199" s="12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5" t="n"/>
      <c r="I200" s="14" t="n"/>
      <c r="J200" s="14" t="n"/>
      <c r="K200" s="14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3" t="n"/>
      <c r="I201" s="12" t="n"/>
      <c r="J201" s="12" t="n"/>
      <c r="K201" s="12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5" t="n"/>
      <c r="I202" s="14" t="n"/>
      <c r="J202" s="14" t="n"/>
      <c r="K202" s="14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3" t="n"/>
      <c r="I203" s="12" t="n"/>
      <c r="J203" s="12" t="n"/>
      <c r="K203" s="12" t="n"/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15" t="n"/>
      <c r="I204" s="14" t="n"/>
      <c r="J204" s="14" t="n"/>
      <c r="K204" s="14" t="n"/>
    </row>
  </sheetData>
  <autoFilter ref="A4:K204"/>
  <mergeCells count="2">
    <mergeCell ref="A2:K2"/>
    <mergeCell ref="A1:K1"/>
  </mergeCells>
  <dataValidations count="1">
    <dataValidation sqref="G5:G204" showDropDown="0" showInputMessage="0" showErrorMessage="0" allowBlank="1" type="list">
      <formula1>"Neu,Kontaktiert,Termin,Angebot,Gewonnen,Verloren"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 ht="28" customHeight="1">
      <c r="A1" s="7" t="inlineStr">
        <is>
          <t>Übersicht</t>
        </is>
      </c>
    </row>
    <row r="3" ht="20" customHeight="1">
      <c r="A3" s="16" t="inlineStr">
        <is>
          <t>Firmen gesamt</t>
        </is>
      </c>
      <c r="B3" s="17">
        <f>COUNTA(Tracker!A5:A204)</f>
        <v/>
      </c>
    </row>
    <row r="4" ht="20" customHeight="1">
      <c r="A4" s="18" t="inlineStr">
        <is>
          <t>Neu</t>
        </is>
      </c>
      <c r="B4" s="19">
        <f>COUNTIF(Tracker!G5:G204,"Neu")</f>
        <v/>
      </c>
    </row>
    <row r="5" ht="20" customHeight="1">
      <c r="A5" s="16" t="inlineStr">
        <is>
          <t>Kontaktiert</t>
        </is>
      </c>
      <c r="B5" s="17">
        <f>COUNTIF(Tracker!G5:G204,"Kontaktiert")</f>
        <v/>
      </c>
    </row>
    <row r="6" ht="20" customHeight="1">
      <c r="A6" s="18" t="inlineStr">
        <is>
          <t>Termine</t>
        </is>
      </c>
      <c r="B6" s="19">
        <f>COUNTIF(Tracker!G5:G204,"Termin")</f>
        <v/>
      </c>
    </row>
    <row r="7" ht="20" customHeight="1">
      <c r="A7" s="16" t="inlineStr">
        <is>
          <t>Angebote offen</t>
        </is>
      </c>
      <c r="B7" s="17">
        <f>COUNTIF(Tracker!G5:G204,"Angebot")</f>
        <v/>
      </c>
    </row>
    <row r="8" ht="20" customHeight="1">
      <c r="A8" s="18" t="inlineStr">
        <is>
          <t>Gewonnen</t>
        </is>
      </c>
      <c r="B8" s="19">
        <f>COUNTIF(Tracker!G5:G204,"Gewonnen")</f>
        <v/>
      </c>
    </row>
    <row r="9" ht="20" customHeight="1">
      <c r="A9" s="16" t="inlineStr">
        <is>
          <t>Verloren</t>
        </is>
      </c>
      <c r="B9" s="17">
        <f>COUNTIF(Tracker!G5:G204,"Verloren")</f>
        <v/>
      </c>
    </row>
    <row r="10" ht="20" customHeight="1">
      <c r="A10" s="18" t="inlineStr">
        <is>
          <t>Pipeline-Wert offen (€)</t>
        </is>
      </c>
      <c r="B10" s="20">
        <f>SUMIFS(Tracker!H5:H204,Tracker!G5:G204,"&lt;&gt;Gewonnen",Tracker!G5:G204,"&lt;&gt;Verloren")</f>
        <v/>
      </c>
    </row>
    <row r="11" ht="20" customHeight="1">
      <c r="A11" s="16" t="inlineStr">
        <is>
          <t>Gewonnen-Wert (€)</t>
        </is>
      </c>
      <c r="B11" s="21">
        <f>SUMIF(Tracker!G5:G204,"Gewonnen",Tracker!H5:H204)</f>
        <v/>
      </c>
    </row>
    <row r="12" ht="20" customHeight="1">
      <c r="A12" s="18" t="inlineStr">
        <is>
          <t>Abschlussquote</t>
        </is>
      </c>
      <c r="B12" s="22">
        <f>IFERROR(COUNTIF(Tracker!G5:G204,"Gewonnen")/(COUNTIF(Tracker!G5:G204,"Gewonnen")+COUNTIF(Tracker!G5:G204,"Verloren")),"")</f>
        <v/>
      </c>
    </row>
    <row r="14">
      <c r="A14" s="8" t="inlineStr">
        <is>
          <t>Tipp: KundenRadar zeigt dir genau diese Kennzahlen automatisch – live. seciora-solutions.de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 ht="28" customHeight="1">
      <c r="A1" s="7" t="inlineStr">
        <is>
          <t>Wochenziel &amp; Tages-Streak</t>
        </is>
      </c>
    </row>
    <row r="3">
      <c r="A3" s="23" t="inlineStr">
        <is>
          <t>Tagesziel Anrufe</t>
        </is>
      </c>
      <c r="B3" s="24" t="n">
        <v>20</v>
      </c>
    </row>
    <row r="5">
      <c r="A5" s="25" t="inlineStr">
        <is>
          <t>Tag</t>
        </is>
      </c>
      <c r="B5" s="25" t="inlineStr">
        <is>
          <t>Anrufe</t>
        </is>
      </c>
      <c r="C5" s="25" t="inlineStr">
        <is>
          <t>Ziel erreicht?</t>
        </is>
      </c>
    </row>
    <row r="6">
      <c r="A6" s="26" t="inlineStr">
        <is>
          <t>Montag</t>
        </is>
      </c>
      <c r="B6" s="27" t="n"/>
      <c r="C6" s="27">
        <f>IF(B6="","",IF(B6&gt;=$B$3,"✅ ja","—"))</f>
        <v/>
      </c>
    </row>
    <row r="7">
      <c r="A7" s="28" t="inlineStr">
        <is>
          <t>Dienstag</t>
        </is>
      </c>
      <c r="B7" s="29" t="n"/>
      <c r="C7" s="29">
        <f>IF(B7="","",IF(B7&gt;=$B$3,"✅ ja","—"))</f>
        <v/>
      </c>
    </row>
    <row r="8">
      <c r="A8" s="26" t="inlineStr">
        <is>
          <t>Mittwoch</t>
        </is>
      </c>
      <c r="B8" s="27" t="n"/>
      <c r="C8" s="27">
        <f>IF(B8="","",IF(B8&gt;=$B$3,"✅ ja","—"))</f>
        <v/>
      </c>
    </row>
    <row r="9">
      <c r="A9" s="28" t="inlineStr">
        <is>
          <t>Donnerstag</t>
        </is>
      </c>
      <c r="B9" s="29" t="n"/>
      <c r="C9" s="29">
        <f>IF(B9="","",IF(B9&gt;=$B$3,"✅ ja","—"))</f>
        <v/>
      </c>
    </row>
    <row r="10">
      <c r="A10" s="26" t="inlineStr">
        <is>
          <t>Freitag</t>
        </is>
      </c>
      <c r="B10" s="27" t="n"/>
      <c r="C10" s="27">
        <f>IF(B10="","",IF(B10&gt;=$B$3,"✅ ja","—"))</f>
        <v/>
      </c>
    </row>
    <row r="12">
      <c r="A12" s="23" t="inlineStr">
        <is>
          <t>Summe Woche</t>
        </is>
      </c>
      <c r="B12" s="23">
        <f>SUM(B6:B10)</f>
        <v/>
      </c>
    </row>
    <row r="14">
      <c r="A14" s="8" t="inlineStr">
        <is>
          <t>Tipp: 5 Tage in Folge das Tagesziel halten = deine Akquise-Serie. Dranbleiben schlägt alles.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2026-06-15T12:37:59Z</dcterms:created>
  <dcterms:modified xmlns:dcterms="http://purl.org/dc/terms/" xmlns:xsi="http://www.w3.org/2001/XMLSchema-instance" xsi:type="dcterms:W3CDTF">2026-06-15T12:37:59Z</dcterms:modified>
</cp:coreProperties>
</file>